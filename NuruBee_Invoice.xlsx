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mwel\Desktop\nuru\"/>
    </mc:Choice>
  </mc:AlternateContent>
  <bookViews>
    <workbookView xWindow="0" yWindow="0" windowWidth="19200" windowHeight="6930"/>
  </bookViews>
  <sheets>
    <sheet name="Invoice" sheetId="1" r:id="rId1"/>
  </sheets>
  <definedNames>
    <definedName name="_xlnm.Print_Area" localSheetId="0">Invoice!$B$1:$E$26</definedName>
  </definedNames>
  <calcPr calcId="162913"/>
</workbook>
</file>

<file path=xl/calcChain.xml><?xml version="1.0" encoding="utf-8"?>
<calcChain xmlns="http://schemas.openxmlformats.org/spreadsheetml/2006/main">
  <c r="E13" i="1" l="1"/>
  <c r="E12" i="1"/>
  <c r="E14" i="1"/>
  <c r="E15" i="1"/>
  <c r="E16" i="1"/>
  <c r="E11" i="1"/>
  <c r="E18" i="1" l="1"/>
  <c r="E20" i="1" l="1"/>
</calcChain>
</file>

<file path=xl/sharedStrings.xml><?xml version="1.0" encoding="utf-8"?>
<sst xmlns="http://schemas.openxmlformats.org/spreadsheetml/2006/main" count="25" uniqueCount="25">
  <si>
    <t>NURU BEE PRODUCTS</t>
  </si>
  <si>
    <t>Payment To:</t>
  </si>
  <si>
    <t>Billed To:</t>
  </si>
  <si>
    <t>Name: NURU BEE PRODUCTS</t>
  </si>
  <si>
    <t>Address: Dar es Salaam, Tanzania</t>
  </si>
  <si>
    <t>Description</t>
  </si>
  <si>
    <t>Quantity</t>
  </si>
  <si>
    <t>Unit Price (TZS)</t>
  </si>
  <si>
    <t>Line Total (TZS)</t>
  </si>
  <si>
    <t>Packaging</t>
  </si>
  <si>
    <t>Commercial Bee Hives</t>
  </si>
  <si>
    <t>Honey Warming Machine</t>
  </si>
  <si>
    <t>Digital Honey Filling Machine</t>
  </si>
  <si>
    <t>White Honey Bucket</t>
  </si>
  <si>
    <t>Honey Press Machine</t>
  </si>
  <si>
    <t>Subtotal</t>
  </si>
  <si>
    <t>Grand Total</t>
  </si>
  <si>
    <t>Bank Details:</t>
  </si>
  <si>
    <t>Bank Name: NMB</t>
  </si>
  <si>
    <t>Account Name: NURU LAWI NATHANAEL</t>
  </si>
  <si>
    <t>Account Number: 20510049136</t>
  </si>
  <si>
    <t xml:space="preserve"> Email: nurubeproducts256@gmail.com</t>
  </si>
  <si>
    <t>Name: TFS USA RIVER</t>
  </si>
  <si>
    <t>Address: Arusha, Tanzania</t>
  </si>
  <si>
    <r>
      <t>Date:</t>
    </r>
    <r>
      <rPr>
        <b/>
        <sz val="12"/>
        <color theme="1"/>
        <rFont val="Calibri"/>
        <family val="2"/>
        <scheme val="minor"/>
      </rPr>
      <t>03/03/2026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</si>
</sst>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TSh&quot;* #,##0_-;\-&quot;TSh&quot;* #,##0_-;_-&quot;TSh&quot;* &quot;-&quot;_-;_-@_-"/>
  </numFmts>
  <fonts count="8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FFF2C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left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4" fillId="3" borderId="0" xfId="0" applyFont="1" applyFill="1"/>
    <xf numFmtId="42" fontId="0" fillId="0" borderId="1" xfId="0" applyNumberFormat="1" applyBorder="1"/>
    <xf numFmtId="42" fontId="0" fillId="0" borderId="0" xfId="0" applyNumberFormat="1"/>
    <xf numFmtId="42" fontId="3" fillId="3" borderId="0" xfId="0" applyNumberFormat="1" applyFont="1" applyFill="1"/>
    <xf numFmtId="0" fontId="6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3</xdr:col>
      <xdr:colOff>381000</xdr:colOff>
      <xdr:row>3</xdr:row>
      <xdr:rowOff>177800</xdr:rowOff>
    </xdr:to>
    <xdr:sp macro="" textlink="">
      <xdr:nvSpPr>
        <xdr:cNvPr id="2" name="Pentagon 1"/>
        <xdr:cNvSpPr/>
      </xdr:nvSpPr>
      <xdr:spPr>
        <a:xfrm>
          <a:off x="1765300" y="0"/>
          <a:ext cx="3956050" cy="844550"/>
        </a:xfrm>
        <a:prstGeom prst="homePlate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 editAs="oneCell">
    <xdr:from>
      <xdr:col>4</xdr:col>
      <xdr:colOff>50801</xdr:colOff>
      <xdr:row>0</xdr:row>
      <xdr:rowOff>201816</xdr:rowOff>
    </xdr:from>
    <xdr:to>
      <xdr:col>4</xdr:col>
      <xdr:colOff>552450</xdr:colOff>
      <xdr:row>3</xdr:row>
      <xdr:rowOff>41877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1" y="201816"/>
          <a:ext cx="501649" cy="506811"/>
        </a:xfrm>
        <a:prstGeom prst="rect">
          <a:avLst/>
        </a:prstGeom>
      </xdr:spPr>
    </xdr:pic>
    <xdr:clientData/>
  </xdr:twoCellAnchor>
  <xdr:twoCellAnchor>
    <xdr:from>
      <xdr:col>3</xdr:col>
      <xdr:colOff>781050</xdr:colOff>
      <xdr:row>1</xdr:row>
      <xdr:rowOff>165100</xdr:rowOff>
    </xdr:from>
    <xdr:to>
      <xdr:col>4</xdr:col>
      <xdr:colOff>0</xdr:colOff>
      <xdr:row>4</xdr:row>
      <xdr:rowOff>6350</xdr:rowOff>
    </xdr:to>
    <xdr:sp macro="" textlink="">
      <xdr:nvSpPr>
        <xdr:cNvPr id="4" name="Isosceles Triangle 3"/>
        <xdr:cNvSpPr/>
      </xdr:nvSpPr>
      <xdr:spPr>
        <a:xfrm>
          <a:off x="6121400" y="463550"/>
          <a:ext cx="615950" cy="393700"/>
        </a:xfrm>
        <a:prstGeom prst="triangle">
          <a:avLst>
            <a:gd name="adj" fmla="val 48969"/>
          </a:avLst>
        </a:prstGeom>
        <a:solidFill>
          <a:sysClr val="window" lastClr="FFFFFF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just"/>
          <a:endParaRPr lang="en-US" sz="1100"/>
        </a:p>
      </xdr:txBody>
    </xdr:sp>
    <xdr:clientData/>
  </xdr:twoCellAnchor>
  <xdr:twoCellAnchor>
    <xdr:from>
      <xdr:col>3</xdr:col>
      <xdr:colOff>501650</xdr:colOff>
      <xdr:row>1</xdr:row>
      <xdr:rowOff>158750</xdr:rowOff>
    </xdr:from>
    <xdr:to>
      <xdr:col>3</xdr:col>
      <xdr:colOff>1117600</xdr:colOff>
      <xdr:row>4</xdr:row>
      <xdr:rowOff>0</xdr:rowOff>
    </xdr:to>
    <xdr:sp macro="" textlink="">
      <xdr:nvSpPr>
        <xdr:cNvPr id="5" name="Isosceles Triangle 4"/>
        <xdr:cNvSpPr/>
      </xdr:nvSpPr>
      <xdr:spPr>
        <a:xfrm>
          <a:off x="5842000" y="457200"/>
          <a:ext cx="615950" cy="393700"/>
        </a:xfrm>
        <a:prstGeom prst="triangle">
          <a:avLst>
            <a:gd name="adj" fmla="val 48969"/>
          </a:avLst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just"/>
          <a:endParaRPr lang="en-US" sz="1100"/>
        </a:p>
      </xdr:txBody>
    </xdr:sp>
    <xdr:clientData/>
  </xdr:twoCellAnchor>
  <xdr:twoCellAnchor>
    <xdr:from>
      <xdr:col>4</xdr:col>
      <xdr:colOff>696628</xdr:colOff>
      <xdr:row>0</xdr:row>
      <xdr:rowOff>61396</xdr:rowOff>
    </xdr:from>
    <xdr:to>
      <xdr:col>5</xdr:col>
      <xdr:colOff>219002</xdr:colOff>
      <xdr:row>3</xdr:row>
      <xdr:rowOff>110054</xdr:rowOff>
    </xdr:to>
    <xdr:sp macro="" textlink="">
      <xdr:nvSpPr>
        <xdr:cNvPr id="6" name="Right Triangle 5"/>
        <xdr:cNvSpPr/>
      </xdr:nvSpPr>
      <xdr:spPr>
        <a:xfrm rot="3520729">
          <a:off x="7459761" y="200713"/>
          <a:ext cx="715408" cy="436774"/>
        </a:xfrm>
        <a:prstGeom prst="rtTriangle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1244600</xdr:colOff>
      <xdr:row>0</xdr:row>
      <xdr:rowOff>25400</xdr:rowOff>
    </xdr:from>
    <xdr:to>
      <xdr:col>4</xdr:col>
      <xdr:colOff>304800</xdr:colOff>
      <xdr:row>0</xdr:row>
      <xdr:rowOff>266700</xdr:rowOff>
    </xdr:to>
    <xdr:sp macro="" textlink="">
      <xdr:nvSpPr>
        <xdr:cNvPr id="9" name="Isosceles Triangle 8"/>
        <xdr:cNvSpPr/>
      </xdr:nvSpPr>
      <xdr:spPr>
        <a:xfrm rot="10800000">
          <a:off x="6584950" y="25400"/>
          <a:ext cx="622300" cy="241300"/>
        </a:xfrm>
        <a:prstGeom prst="triangle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914400</xdr:colOff>
      <xdr:row>0</xdr:row>
      <xdr:rowOff>79341</xdr:rowOff>
    </xdr:from>
    <xdr:to>
      <xdr:col>2</xdr:col>
      <xdr:colOff>387350</xdr:colOff>
      <xdr:row>3</xdr:row>
      <xdr:rowOff>56756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0650" y="79341"/>
          <a:ext cx="1905000" cy="64416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  <a:softEdge rad="1270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A7" sqref="A7:XFD7"/>
    </sheetView>
  </sheetViews>
  <sheetFormatPr defaultRowHeight="14.5" x14ac:dyDescent="0.35"/>
  <cols>
    <col min="1" max="1" width="25" customWidth="1"/>
    <col min="2" max="2" width="34.81640625" bestFit="1" customWidth="1"/>
    <col min="3" max="3" width="16.6328125" customWidth="1"/>
    <col min="4" max="4" width="22.36328125" customWidth="1"/>
    <col min="5" max="5" width="13.08984375" customWidth="1"/>
  </cols>
  <sheetData>
    <row r="1" spans="1:5" ht="23.5" x14ac:dyDescent="0.55000000000000004">
      <c r="A1" s="1" t="s">
        <v>0</v>
      </c>
      <c r="B1" s="12"/>
      <c r="C1" s="12"/>
      <c r="D1" s="12"/>
      <c r="E1" s="12"/>
    </row>
    <row r="2" spans="1:5" x14ac:dyDescent="0.35">
      <c r="B2" s="12"/>
      <c r="C2" s="12"/>
      <c r="D2" s="12"/>
      <c r="E2" s="12"/>
    </row>
    <row r="3" spans="1:5" x14ac:dyDescent="0.35">
      <c r="B3" s="12"/>
      <c r="C3" s="12"/>
      <c r="D3" s="12"/>
      <c r="E3" s="12"/>
    </row>
    <row r="4" spans="1:5" x14ac:dyDescent="0.35">
      <c r="B4" s="12"/>
      <c r="C4" s="12"/>
      <c r="D4" s="12"/>
      <c r="E4" s="12"/>
    </row>
    <row r="5" spans="1:5" x14ac:dyDescent="0.35">
      <c r="B5" s="2" t="s">
        <v>1</v>
      </c>
      <c r="D5" s="2" t="s">
        <v>2</v>
      </c>
    </row>
    <row r="6" spans="1:5" x14ac:dyDescent="0.35">
      <c r="B6" t="s">
        <v>3</v>
      </c>
      <c r="D6" t="s">
        <v>22</v>
      </c>
    </row>
    <row r="7" spans="1:5" x14ac:dyDescent="0.35">
      <c r="B7" t="s">
        <v>4</v>
      </c>
      <c r="D7" t="s">
        <v>23</v>
      </c>
    </row>
    <row r="8" spans="1:5" ht="15.5" x14ac:dyDescent="0.35">
      <c r="B8" t="s">
        <v>21</v>
      </c>
      <c r="D8" t="s">
        <v>24</v>
      </c>
    </row>
    <row r="10" spans="1:5" x14ac:dyDescent="0.35">
      <c r="B10" s="5" t="s">
        <v>5</v>
      </c>
      <c r="C10" s="5" t="s">
        <v>6</v>
      </c>
      <c r="D10" s="5" t="s">
        <v>7</v>
      </c>
      <c r="E10" s="5" t="s">
        <v>8</v>
      </c>
    </row>
    <row r="11" spans="1:5" x14ac:dyDescent="0.35">
      <c r="B11" s="3" t="s">
        <v>9</v>
      </c>
      <c r="C11" s="4">
        <v>6</v>
      </c>
      <c r="D11" s="7">
        <v>80000</v>
      </c>
      <c r="E11" s="7">
        <f>PRODUCT(C11:D11)</f>
        <v>480000</v>
      </c>
    </row>
    <row r="12" spans="1:5" x14ac:dyDescent="0.35">
      <c r="B12" s="3" t="s">
        <v>10</v>
      </c>
      <c r="C12" s="4">
        <v>5</v>
      </c>
      <c r="D12" s="7">
        <v>150000</v>
      </c>
      <c r="E12" s="7">
        <f t="shared" ref="E12:E16" si="0">PRODUCT(C12:D12)</f>
        <v>750000</v>
      </c>
    </row>
    <row r="13" spans="1:5" x14ac:dyDescent="0.35">
      <c r="B13" s="3" t="s">
        <v>11</v>
      </c>
      <c r="C13" s="4">
        <v>1</v>
      </c>
      <c r="D13" s="7">
        <v>1900000</v>
      </c>
      <c r="E13" s="7">
        <f>PRODUCT(C13:D13)</f>
        <v>1900000</v>
      </c>
    </row>
    <row r="14" spans="1:5" x14ac:dyDescent="0.35">
      <c r="B14" s="3" t="s">
        <v>12</v>
      </c>
      <c r="C14" s="4">
        <v>1</v>
      </c>
      <c r="D14" s="7">
        <v>2000000</v>
      </c>
      <c r="E14" s="7">
        <f t="shared" si="0"/>
        <v>2000000</v>
      </c>
    </row>
    <row r="15" spans="1:5" x14ac:dyDescent="0.35">
      <c r="B15" s="3" t="s">
        <v>13</v>
      </c>
      <c r="C15" s="4">
        <v>20</v>
      </c>
      <c r="D15" s="7">
        <v>50000</v>
      </c>
      <c r="E15" s="7">
        <f t="shared" si="0"/>
        <v>1000000</v>
      </c>
    </row>
    <row r="16" spans="1:5" x14ac:dyDescent="0.35">
      <c r="B16" s="3" t="s">
        <v>14</v>
      </c>
      <c r="C16" s="4">
        <v>1</v>
      </c>
      <c r="D16" s="7">
        <v>1000000</v>
      </c>
      <c r="E16" s="7">
        <f t="shared" si="0"/>
        <v>1000000</v>
      </c>
    </row>
    <row r="17" spans="2:5" x14ac:dyDescent="0.35">
      <c r="E17" s="8"/>
    </row>
    <row r="18" spans="2:5" x14ac:dyDescent="0.35">
      <c r="D18" s="2" t="s">
        <v>15</v>
      </c>
      <c r="E18" s="8">
        <f>SUM(E11:E16)</f>
        <v>7130000</v>
      </c>
    </row>
    <row r="19" spans="2:5" x14ac:dyDescent="0.35">
      <c r="D19" s="2"/>
      <c r="E19" s="8"/>
    </row>
    <row r="20" spans="2:5" x14ac:dyDescent="0.35">
      <c r="D20" s="6" t="s">
        <v>16</v>
      </c>
      <c r="E20" s="9">
        <f>E18+E19</f>
        <v>7130000</v>
      </c>
    </row>
    <row r="21" spans="2:5" x14ac:dyDescent="0.35">
      <c r="B21" s="10"/>
      <c r="C21" s="10"/>
      <c r="D21" s="10"/>
      <c r="E21" s="10"/>
    </row>
    <row r="22" spans="2:5" x14ac:dyDescent="0.35">
      <c r="B22" s="13" t="s">
        <v>17</v>
      </c>
      <c r="C22" s="13"/>
      <c r="D22" s="13"/>
      <c r="E22" s="13"/>
    </row>
    <row r="23" spans="2:5" x14ac:dyDescent="0.35">
      <c r="B23" s="13" t="s">
        <v>18</v>
      </c>
      <c r="C23" s="13"/>
      <c r="D23" s="13"/>
      <c r="E23" s="13"/>
    </row>
    <row r="24" spans="2:5" x14ac:dyDescent="0.35">
      <c r="B24" s="13" t="s">
        <v>19</v>
      </c>
      <c r="C24" s="13"/>
      <c r="D24" s="13"/>
      <c r="E24" s="13"/>
    </row>
    <row r="25" spans="2:5" x14ac:dyDescent="0.35">
      <c r="B25" s="13" t="s">
        <v>20</v>
      </c>
      <c r="C25" s="13"/>
      <c r="D25" s="13"/>
      <c r="E25" s="13"/>
    </row>
    <row r="26" spans="2:5" x14ac:dyDescent="0.35">
      <c r="B26" s="11"/>
      <c r="C26" s="11"/>
      <c r="D26" s="11"/>
      <c r="E26" s="11"/>
    </row>
  </sheetData>
  <mergeCells count="5">
    <mergeCell ref="B1:E4"/>
    <mergeCell ref="B22:E22"/>
    <mergeCell ref="B23:E23"/>
    <mergeCell ref="B24:E24"/>
    <mergeCell ref="B25:E25"/>
  </mergeCells>
  <pageMargins left="0.75" right="0.75" top="1" bottom="1" header="0.5" footer="0.5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samwel</cp:lastModifiedBy>
  <cp:lastPrinted>2026-03-03T10:49:41Z</cp:lastPrinted>
  <dcterms:created xsi:type="dcterms:W3CDTF">2026-03-03T09:39:12Z</dcterms:created>
  <dcterms:modified xsi:type="dcterms:W3CDTF">2026-03-03T11:53:13Z</dcterms:modified>
</cp:coreProperties>
</file>