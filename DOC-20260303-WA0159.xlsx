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mwel\Desktop\nuru\"/>
    </mc:Choice>
  </mc:AlternateContent>
  <bookViews>
    <workbookView xWindow="0" yWindow="0" windowWidth="12780" windowHeight="3550"/>
  </bookViews>
  <sheets>
    <sheet name="Invoice" sheetId="1" r:id="rId1"/>
  </sheets>
  <definedNames>
    <definedName name="_xlnm.Print_Area" localSheetId="0">Invoice!$A$1:$D$26</definedName>
  </definedNames>
  <calcPr calcId="162913"/>
</workbook>
</file>

<file path=xl/calcChain.xml><?xml version="1.0" encoding="utf-8"?>
<calcChain xmlns="http://schemas.openxmlformats.org/spreadsheetml/2006/main">
  <c r="D17" i="1" l="1"/>
  <c r="D16" i="1"/>
  <c r="D15" i="1"/>
  <c r="D14" i="1"/>
  <c r="D13" i="1"/>
  <c r="D12" i="1"/>
  <c r="D19" i="1" s="1"/>
  <c r="D21" i="1" s="1"/>
</calcChain>
</file>

<file path=xl/sharedStrings.xml><?xml version="1.0" encoding="utf-8"?>
<sst xmlns="http://schemas.openxmlformats.org/spreadsheetml/2006/main" count="26" uniqueCount="26">
  <si>
    <t>Payment To:</t>
  </si>
  <si>
    <t>Billed To:</t>
  </si>
  <si>
    <t>Name: NURU BEE PRODUCTS</t>
  </si>
  <si>
    <t>Name: TFS USA RIVER</t>
  </si>
  <si>
    <t>Phone: 0767605968</t>
  </si>
  <si>
    <t>Phone: 0623162288</t>
  </si>
  <si>
    <t>Address: Dar es Salaam, Tanzania</t>
  </si>
  <si>
    <t>Address: Arusha, Tanzania</t>
  </si>
  <si>
    <t xml:space="preserve"> Email: nurubeproducts256@gmail.com</t>
  </si>
  <si>
    <r>
      <t>Date:</t>
    </r>
    <r>
      <rPr>
        <b/>
        <sz val="12"/>
        <rFont val="Calibri"/>
      </rPr>
      <t>03/03/2026</t>
    </r>
  </si>
  <si>
    <t>Description</t>
  </si>
  <si>
    <t>Quantity</t>
  </si>
  <si>
    <t>Unit Price (TZS)</t>
  </si>
  <si>
    <t>Line Total (TZS)</t>
  </si>
  <si>
    <t>Packaging</t>
  </si>
  <si>
    <t>Commercial Bee Hives</t>
  </si>
  <si>
    <t>Honey Warming Machine</t>
  </si>
  <si>
    <t>Digital Honey Filling Machine</t>
  </si>
  <si>
    <t>White Honey Bucket</t>
  </si>
  <si>
    <t>Honey Press Machine</t>
  </si>
  <si>
    <t>Subtotal</t>
  </si>
  <si>
    <t>Grand Total</t>
  </si>
  <si>
    <t>Bank Details:</t>
  </si>
  <si>
    <t>Bank Name: NMB</t>
  </si>
  <si>
    <t>Account Name: NURU LAWI NATHANAEL</t>
  </si>
  <si>
    <t>Account Number: 20810049136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</si>
</sst>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&quot;TSh&quot;* #,##0_-;\-&quot;TSh&quot;* #,##0_-;_-&quot;TSh&quot;* &quot;-&quot;_-;_-@"/>
  </numFmts>
  <fonts count="7">
    <font>
      <sz val="11"/>
      <name val="Calibri"/>
      <scheme val="minor"/>
    </font>
    <font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/>
    <xf numFmtId="164" fontId="1" fillId="0" borderId="1" xfId="0" applyNumberFormat="1" applyFont="1" applyBorder="1"/>
    <xf numFmtId="0" fontId="1" fillId="0" borderId="1" xfId="0" applyFont="1" applyBorder="1"/>
    <xf numFmtId="164" fontId="1" fillId="0" borderId="1" xfId="0" applyNumberFormat="1" applyFont="1" applyBorder="1" applyAlignment="1"/>
    <xf numFmtId="164" fontId="1" fillId="0" borderId="0" xfId="0" applyNumberFormat="1" applyFont="1"/>
    <xf numFmtId="0" fontId="2" fillId="2" borderId="2" xfId="0" applyFont="1" applyFill="1" applyBorder="1"/>
    <xf numFmtId="164" fontId="3" fillId="2" borderId="2" xfId="0" applyNumberFormat="1" applyFont="1" applyFill="1" applyBorder="1"/>
    <xf numFmtId="0" fontId="4" fillId="0" borderId="0" xfId="0" applyFont="1"/>
    <xf numFmtId="0" fontId="4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2" fillId="0" borderId="3" xfId="0" applyFont="1" applyBorder="1" applyAlignment="1">
      <alignment horizontal="left"/>
    </xf>
    <xf numFmtId="0" fontId="5" fillId="0" borderId="4" xfId="0" applyFont="1" applyBorder="1"/>
    <xf numFmtId="0" fontId="5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3790950" cy="714375"/>
    <xdr:sp macro="" textlink="">
      <xdr:nvSpPr>
        <xdr:cNvPr id="2" name="Pentagon 1"/>
        <xdr:cNvSpPr/>
      </xdr:nvSpPr>
      <xdr:spPr>
        <a:xfrm>
          <a:off x="1765300" y="0"/>
          <a:ext cx="3956050" cy="844550"/>
        </a:xfrm>
        <a:prstGeom prst="homePlate">
          <a:avLst/>
        </a:prstGeom>
        <a:solidFill>
          <a:schemeClr val="accent6"/>
        </a:solidFill>
        <a:ln w="25400" cap="flat" cmpd="sng" algn="ctr">
          <a:solidFill>
            <a:schemeClr val="accent6"/>
          </a:solidFill>
          <a:prstDash val="solid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lvl="0" algn="l"/>
          <a:endParaRPr lang="en-US" sz="1100" b="0" cap="none" spc="0">
            <a:ln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 fLocksWithSheet="0"/>
  </xdr:oneCellAnchor>
  <xdr:oneCellAnchor>
    <xdr:from>
      <xdr:col>2</xdr:col>
      <xdr:colOff>781050</xdr:colOff>
      <xdr:row>1</xdr:row>
      <xdr:rowOff>161925</xdr:rowOff>
    </xdr:from>
    <xdr:ext cx="714375" cy="390525"/>
    <xdr:sp macro="" textlink="">
      <xdr:nvSpPr>
        <xdr:cNvPr id="4" name="Isosceles Triangle 3"/>
        <xdr:cNvSpPr/>
      </xdr:nvSpPr>
      <xdr:spPr>
        <a:xfrm>
          <a:off x="6121400" y="463550"/>
          <a:ext cx="615950" cy="393700"/>
        </a:xfrm>
        <a:prstGeom prst="triangle">
          <a:avLst>
            <a:gd name="adj" fmla="val 48969"/>
          </a:avLst>
        </a:prstGeom>
        <a:solidFill>
          <a:sysClr val="window" lastClr="FFFFFF"/>
        </a:solidFill>
        <a:ln w="25400" cap="flat" cmpd="sng" algn="ctr">
          <a:solidFill>
            <a:schemeClr val="accent6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just"/>
          <a:endParaRPr lang="en-US" sz="1100"/>
        </a:p>
      </xdr:txBody>
    </xdr:sp>
    <xdr:clientData fLocksWithSheet="0"/>
  </xdr:oneCellAnchor>
  <xdr:oneCellAnchor>
    <xdr:from>
      <xdr:col>2</xdr:col>
      <xdr:colOff>495300</xdr:colOff>
      <xdr:row>1</xdr:row>
      <xdr:rowOff>152400</xdr:rowOff>
    </xdr:from>
    <xdr:ext cx="609600" cy="390525"/>
    <xdr:sp macro="" textlink="">
      <xdr:nvSpPr>
        <xdr:cNvPr id="5" name="Isosceles Triangle 4"/>
        <xdr:cNvSpPr/>
      </xdr:nvSpPr>
      <xdr:spPr>
        <a:xfrm>
          <a:off x="5842000" y="457200"/>
          <a:ext cx="615950" cy="393700"/>
        </a:xfrm>
        <a:prstGeom prst="triangle">
          <a:avLst>
            <a:gd name="adj" fmla="val 48969"/>
          </a:avLst>
        </a:prstGeom>
        <a:solidFill>
          <a:schemeClr val="accent6"/>
        </a:solidFill>
        <a:ln w="25400" cap="flat" cmpd="sng" algn="ctr">
          <a:solidFill>
            <a:schemeClr val="accent6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just"/>
          <a:endParaRPr lang="en-US" sz="1100"/>
        </a:p>
      </xdr:txBody>
    </xdr:sp>
    <xdr:clientData fLocksWithSheet="0"/>
  </xdr:oneCellAnchor>
  <xdr:oneCellAnchor>
    <xdr:from>
      <xdr:col>3</xdr:col>
      <xdr:colOff>695325</xdr:colOff>
      <xdr:row>0</xdr:row>
      <xdr:rowOff>57150</xdr:rowOff>
    </xdr:from>
    <xdr:ext cx="400050" cy="590550"/>
    <xdr:sp macro="" textlink="">
      <xdr:nvSpPr>
        <xdr:cNvPr id="6" name="Right Triangle 5"/>
        <xdr:cNvSpPr/>
      </xdr:nvSpPr>
      <xdr:spPr>
        <a:xfrm rot="3520729">
          <a:off x="7459761" y="200713"/>
          <a:ext cx="715408" cy="436774"/>
        </a:xfrm>
        <a:prstGeom prst="rtTriangle">
          <a:avLst/>
        </a:prstGeom>
        <a:solidFill>
          <a:schemeClr val="accent6"/>
        </a:solidFill>
        <a:ln w="25400" cap="flat" cmpd="sng" algn="ctr">
          <a:solidFill>
            <a:schemeClr val="accent6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2</xdr:col>
      <xdr:colOff>1238250</xdr:colOff>
      <xdr:row>0</xdr:row>
      <xdr:rowOff>19050</xdr:rowOff>
    </xdr:from>
    <xdr:ext cx="561975" cy="238125"/>
    <xdr:sp macro="" textlink="">
      <xdr:nvSpPr>
        <xdr:cNvPr id="9" name="Isosceles Triangle 8"/>
        <xdr:cNvSpPr/>
      </xdr:nvSpPr>
      <xdr:spPr>
        <a:xfrm rot="10800000">
          <a:off x="6584950" y="25400"/>
          <a:ext cx="622300" cy="241300"/>
        </a:xfrm>
        <a:prstGeom prst="triangle">
          <a:avLst/>
        </a:prstGeom>
        <a:solidFill>
          <a:schemeClr val="accent6"/>
        </a:solidFill>
        <a:ln w="25400" cap="flat" cmpd="sng" algn="ctr">
          <a:solidFill>
            <a:schemeClr val="accent6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3</xdr:col>
      <xdr:colOff>47625</xdr:colOff>
      <xdr:row>0</xdr:row>
      <xdr:rowOff>200025</xdr:rowOff>
    </xdr:from>
    <xdr:ext cx="495300" cy="390525"/>
    <xdr:pic>
      <xdr:nvPicPr>
        <xdr:cNvPr id="3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"/>
  <sheetViews>
    <sheetView tabSelected="1" topLeftCell="A11" workbookViewId="0">
      <selection activeCell="A26" sqref="A26:D26"/>
    </sheetView>
  </sheetViews>
  <sheetFormatPr defaultColWidth="14.453125" defaultRowHeight="15" customHeight="1"/>
  <cols>
    <col min="1" max="1" width="34.81640625" customWidth="1"/>
    <col min="2" max="2" width="16.54296875" customWidth="1"/>
    <col min="3" max="3" width="22.453125" customWidth="1"/>
    <col min="4" max="4" width="13.08984375" customWidth="1"/>
    <col min="5" max="10" width="8.7265625" customWidth="1"/>
  </cols>
  <sheetData>
    <row r="1" spans="1:4" ht="14.25" customHeight="1">
      <c r="A1" s="13"/>
      <c r="B1" s="14"/>
      <c r="C1" s="14"/>
      <c r="D1" s="14"/>
    </row>
    <row r="2" spans="1:4" ht="14.25" customHeight="1">
      <c r="A2" s="14"/>
      <c r="B2" s="14"/>
      <c r="C2" s="14"/>
      <c r="D2" s="14"/>
    </row>
    <row r="3" spans="1:4" ht="14.25" customHeight="1">
      <c r="A3" s="14"/>
      <c r="B3" s="14"/>
      <c r="C3" s="14"/>
      <c r="D3" s="14"/>
    </row>
    <row r="4" spans="1:4" ht="14.25" customHeight="1">
      <c r="A4" s="14"/>
      <c r="B4" s="14"/>
      <c r="C4" s="14"/>
      <c r="D4" s="14"/>
    </row>
    <row r="5" spans="1:4" ht="14.25" customHeight="1">
      <c r="A5" s="1" t="s">
        <v>0</v>
      </c>
      <c r="C5" s="1" t="s">
        <v>1</v>
      </c>
    </row>
    <row r="6" spans="1:4" ht="14.25" customHeight="1">
      <c r="A6" t="s">
        <v>2</v>
      </c>
      <c r="C6" t="s">
        <v>3</v>
      </c>
    </row>
    <row r="7" spans="1:4" ht="14.25" customHeight="1">
      <c r="A7" t="s">
        <v>4</v>
      </c>
      <c r="C7" t="s">
        <v>5</v>
      </c>
    </row>
    <row r="8" spans="1:4" ht="14.25" customHeight="1">
      <c r="A8" t="s">
        <v>6</v>
      </c>
      <c r="C8" t="s">
        <v>7</v>
      </c>
    </row>
    <row r="9" spans="1:4" ht="14.25" customHeight="1">
      <c r="A9" t="s">
        <v>8</v>
      </c>
      <c r="C9" t="s">
        <v>9</v>
      </c>
    </row>
    <row r="10" spans="1:4" ht="14.25" customHeight="1"/>
    <row r="11" spans="1:4" ht="14.25" customHeight="1">
      <c r="A11" s="2" t="s">
        <v>10</v>
      </c>
      <c r="B11" s="2" t="s">
        <v>11</v>
      </c>
      <c r="C11" s="2" t="s">
        <v>12</v>
      </c>
      <c r="D11" s="2" t="s">
        <v>13</v>
      </c>
    </row>
    <row r="12" spans="1:4" ht="14.25" customHeight="1">
      <c r="A12" s="3" t="s">
        <v>14</v>
      </c>
      <c r="B12" s="4">
        <v>5</v>
      </c>
      <c r="C12" s="5">
        <v>80000</v>
      </c>
      <c r="D12" s="5">
        <f t="shared" ref="D12:D17" si="0">PRODUCT(B12:C12)</f>
        <v>400000</v>
      </c>
    </row>
    <row r="13" spans="1:4" ht="14.25" customHeight="1">
      <c r="A13" s="3" t="s">
        <v>15</v>
      </c>
      <c r="B13" s="6">
        <v>5</v>
      </c>
      <c r="C13" s="5">
        <v>150000</v>
      </c>
      <c r="D13" s="5">
        <f t="shared" si="0"/>
        <v>750000</v>
      </c>
    </row>
    <row r="14" spans="1:4" ht="14.25" customHeight="1">
      <c r="A14" s="3" t="s">
        <v>16</v>
      </c>
      <c r="B14" s="6">
        <v>1</v>
      </c>
      <c r="C14" s="7">
        <v>1700000</v>
      </c>
      <c r="D14" s="5">
        <f t="shared" si="0"/>
        <v>1700000</v>
      </c>
    </row>
    <row r="15" spans="1:4" ht="14.25" customHeight="1">
      <c r="A15" s="3" t="s">
        <v>17</v>
      </c>
      <c r="B15" s="6">
        <v>1</v>
      </c>
      <c r="C15" s="7">
        <v>1700000</v>
      </c>
      <c r="D15" s="5">
        <f t="shared" si="0"/>
        <v>1700000</v>
      </c>
    </row>
    <row r="16" spans="1:4" ht="14.25" customHeight="1">
      <c r="A16" s="3" t="s">
        <v>18</v>
      </c>
      <c r="B16" s="6">
        <v>20</v>
      </c>
      <c r="C16" s="7">
        <v>30000</v>
      </c>
      <c r="D16" s="5">
        <f t="shared" si="0"/>
        <v>600000</v>
      </c>
    </row>
    <row r="17" spans="1:4" ht="14.25" customHeight="1">
      <c r="A17" s="3" t="s">
        <v>19</v>
      </c>
      <c r="B17" s="6">
        <v>1</v>
      </c>
      <c r="C17" s="7">
        <v>850000</v>
      </c>
      <c r="D17" s="5">
        <f t="shared" si="0"/>
        <v>850000</v>
      </c>
    </row>
    <row r="18" spans="1:4" ht="14.25" customHeight="1">
      <c r="D18" s="8"/>
    </row>
    <row r="19" spans="1:4" ht="14.25" customHeight="1">
      <c r="C19" s="1" t="s">
        <v>20</v>
      </c>
      <c r="D19" s="8">
        <f>SUM(D12:D17)</f>
        <v>6000000</v>
      </c>
    </row>
    <row r="20" spans="1:4" ht="14.25" customHeight="1">
      <c r="C20" s="1"/>
      <c r="D20" s="8"/>
    </row>
    <row r="21" spans="1:4" ht="14.25" customHeight="1">
      <c r="C21" s="9" t="s">
        <v>21</v>
      </c>
      <c r="D21" s="10">
        <f>D19+D20</f>
        <v>6000000</v>
      </c>
    </row>
    <row r="22" spans="1:4" ht="14.25" customHeight="1">
      <c r="A22" s="11"/>
      <c r="B22" s="11"/>
      <c r="C22" s="11"/>
      <c r="D22" s="11"/>
    </row>
    <row r="23" spans="1:4" ht="14.25" customHeight="1">
      <c r="A23" s="15" t="s">
        <v>22</v>
      </c>
      <c r="B23" s="16"/>
      <c r="C23" s="16"/>
      <c r="D23" s="17"/>
    </row>
    <row r="24" spans="1:4" ht="14.25" customHeight="1">
      <c r="A24" s="15" t="s">
        <v>23</v>
      </c>
      <c r="B24" s="16"/>
      <c r="C24" s="16"/>
      <c r="D24" s="17"/>
    </row>
    <row r="25" spans="1:4" ht="14.25" customHeight="1">
      <c r="A25" s="15" t="s">
        <v>24</v>
      </c>
      <c r="B25" s="16"/>
      <c r="C25" s="16"/>
      <c r="D25" s="17"/>
    </row>
    <row r="26" spans="1:4" ht="14.25" customHeight="1">
      <c r="A26" s="15" t="s">
        <v>25</v>
      </c>
      <c r="B26" s="16"/>
      <c r="C26" s="16"/>
      <c r="D26" s="17"/>
    </row>
    <row r="27" spans="1:4" ht="14.25" customHeight="1">
      <c r="A27" s="12"/>
      <c r="B27" s="12"/>
      <c r="C27" s="12"/>
      <c r="D27" s="12"/>
    </row>
    <row r="28" spans="1:4" ht="14.25" customHeight="1"/>
    <row r="29" spans="1:4" ht="14.25" customHeight="1"/>
    <row r="30" spans="1:4" ht="14.25" customHeight="1"/>
    <row r="31" spans="1:4" ht="14.25" customHeight="1"/>
    <row r="32" spans="1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5">
    <mergeCell ref="A1:D4"/>
    <mergeCell ref="A23:D23"/>
    <mergeCell ref="A24:D24"/>
    <mergeCell ref="A25:D25"/>
    <mergeCell ref="A26:D26"/>
  </mergeCells>
  <pageMargins left="0.75" right="0.75" top="1" bottom="1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Invoice</vt:lpstr>
      <vt:lpstr>Invoice!Print_Area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samwel</cp:lastModifiedBy>
  <cp:lastPrinted>2026-03-05T10:27:31Z</cp:lastPrinted>
  <dcterms:created xsi:type="dcterms:W3CDTF">2026-03-03T09:39:12Z</dcterms:created>
  <dcterms:modified xsi:type="dcterms:W3CDTF">2026-03-05T10:27:41Z</dcterms:modified>
</cp:coreProperties>
</file>